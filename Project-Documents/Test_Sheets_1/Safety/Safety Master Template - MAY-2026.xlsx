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b val="1"/>
      <color rgb="00375623"/>
      <sz val="9"/>
    </font>
    <font>
      <name val="Calibri"/>
      <sz val="9"/>
    </font>
    <font>
      <name val="Calibri"/>
      <b val="1"/>
      <sz val="9"/>
    </font>
    <font>
      <name val="Calibri"/>
      <b val="1"/>
      <color rgb="007F3F00"/>
      <sz val="9"/>
    </font>
    <font>
      <name val="Calibri"/>
      <b val="1"/>
      <color rgb="00C00000"/>
    </font>
    <font>
      <name val="Calibri"/>
      <b val="1"/>
      <color rgb="001F3864"/>
      <sz val="9"/>
    </font>
    <font>
      <name val="Calibri"/>
      <sz val="8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5C9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BF3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9" fontId="6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vertical="center" wrapText="1"/>
    </xf>
    <xf numFmtId="165" fontId="6" fillId="8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165" fontId="1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SAFETY KPI MASTER CONSOLIDATION SHEET – MAY 2026</t>
        </is>
      </c>
    </row>
    <row r="2" ht="18" customHeight="1">
      <c r="A2" s="2" t="inlineStr">
        <is>
          <t>Reporting Period: May 2026   |   Current Test Project   |   All figures cumulative to data date</t>
        </is>
      </c>
    </row>
    <row r="4" ht="32" customHeight="1">
      <c r="A4" s="3" t="inlineStr">
        <is>
          <t>KPI Metric</t>
        </is>
      </c>
      <c r="B4" s="3" t="inlineStr">
        <is>
          <t>Unit</t>
        </is>
      </c>
      <c r="C4" s="3" t="inlineStr">
        <is>
          <t>Weight</t>
        </is>
      </c>
      <c r="D4" s="4" t="inlineStr">
        <is>
          <t>Org A Member 1</t>
        </is>
      </c>
      <c r="E4" s="4" t="inlineStr">
        <is>
          <t>Org B Member 1</t>
        </is>
      </c>
      <c r="F4" s="5" t="inlineStr">
        <is>
          <t>PORTFOLIO TOTAL / AVG</t>
        </is>
      </c>
    </row>
    <row r="5">
      <c r="A5" s="6" t="inlineStr">
        <is>
          <t>▶  RAW INPUT DATA  (paste totals from each subcontractor's submission)</t>
        </is>
      </c>
    </row>
    <row r="6">
      <c r="A6" s="7" t="inlineStr">
        <is>
          <t>Total Manhours</t>
        </is>
      </c>
      <c r="B6" s="8" t="inlineStr">
        <is>
          <t>manhours</t>
        </is>
      </c>
      <c r="C6" s="8" t="n"/>
      <c r="D6" s="9" t="n">
        <v>255000</v>
      </c>
      <c r="E6" s="9" t="n">
        <v>162000</v>
      </c>
      <c r="F6" s="10">
        <f>SUM(D6:E6)</f>
        <v/>
      </c>
    </row>
    <row r="7">
      <c r="A7" s="7" t="inlineStr">
        <is>
          <t>Safe Manhours</t>
        </is>
      </c>
      <c r="B7" s="8" t="inlineStr">
        <is>
          <t>manhours</t>
        </is>
      </c>
      <c r="C7" s="8" t="n"/>
      <c r="D7" s="9" t="n">
        <v>254700</v>
      </c>
      <c r="E7" s="9" t="n">
        <v>161600</v>
      </c>
      <c r="F7" s="10">
        <f>SUM(D7:E7)</f>
        <v/>
      </c>
    </row>
    <row r="8">
      <c r="A8" s="7" t="inlineStr">
        <is>
          <t>Fatalities</t>
        </is>
      </c>
      <c r="B8" s="8" t="inlineStr">
        <is>
          <t>incidents</t>
        </is>
      </c>
      <c r="C8" s="8" t="n"/>
      <c r="D8" s="9" t="n">
        <v>0</v>
      </c>
      <c r="E8" s="9" t="n">
        <v>0</v>
      </c>
      <c r="F8" s="10">
        <f>SUM(D8:E8)</f>
        <v/>
      </c>
    </row>
    <row r="9">
      <c r="A9" s="7" t="inlineStr">
        <is>
          <t>LTI Incidents</t>
        </is>
      </c>
      <c r="B9" s="8" t="inlineStr">
        <is>
          <t>incidents</t>
        </is>
      </c>
      <c r="C9" s="8" t="n"/>
      <c r="D9" s="9" t="n">
        <v>0</v>
      </c>
      <c r="E9" s="9" t="n">
        <v>1</v>
      </c>
      <c r="F9" s="10">
        <f>SUM(D9:E9)</f>
        <v/>
      </c>
    </row>
    <row r="10">
      <c r="A10" s="7" t="inlineStr">
        <is>
          <t>LTI Manhours Lost</t>
        </is>
      </c>
      <c r="B10" s="8" t="inlineStr">
        <is>
          <t>manhours</t>
        </is>
      </c>
      <c r="C10" s="8" t="n"/>
      <c r="D10" s="9" t="n">
        <v>0</v>
      </c>
      <c r="E10" s="9" t="n">
        <v>480</v>
      </c>
      <c r="F10" s="10">
        <f>SUM(D10:E10)</f>
        <v/>
      </c>
    </row>
    <row r="11">
      <c r="A11" s="7" t="inlineStr">
        <is>
          <t>Total Recordable Incidents</t>
        </is>
      </c>
      <c r="B11" s="8" t="inlineStr">
        <is>
          <t>incidents</t>
        </is>
      </c>
      <c r="C11" s="8" t="n"/>
      <c r="D11" s="9" t="n">
        <v>3</v>
      </c>
      <c r="E11" s="9" t="n">
        <v>4</v>
      </c>
      <c r="F11" s="10">
        <f>SUM(D11:E11)</f>
        <v/>
      </c>
    </row>
    <row r="12">
      <c r="A12" s="7" t="inlineStr">
        <is>
          <t>Near Miss Incidents</t>
        </is>
      </c>
      <c r="B12" s="8" t="inlineStr">
        <is>
          <t>incidents</t>
        </is>
      </c>
      <c r="C12" s="8" t="n"/>
      <c r="D12" s="9" t="n">
        <v>102</v>
      </c>
      <c r="E12" s="9" t="n">
        <v>65</v>
      </c>
      <c r="F12" s="10">
        <f>SUM(D12:E12)</f>
        <v/>
      </c>
    </row>
    <row r="13">
      <c r="A13" s="7" t="inlineStr">
        <is>
          <t>Safety Observations</t>
        </is>
      </c>
      <c r="B13" s="8" t="inlineStr">
        <is>
          <t>incidents</t>
        </is>
      </c>
      <c r="C13" s="8" t="n"/>
      <c r="D13" s="9" t="n">
        <v>435</v>
      </c>
      <c r="E13" s="9" t="n">
        <v>243</v>
      </c>
      <c r="F13" s="10">
        <f>SUM(D13:E13)</f>
        <v/>
      </c>
    </row>
    <row r="14">
      <c r="A14" s="7" t="inlineStr">
        <is>
          <t>Leadership Safety Walks</t>
        </is>
      </c>
      <c r="B14" s="8" t="inlineStr">
        <is>
          <t>count</t>
        </is>
      </c>
      <c r="C14" s="8" t="n"/>
      <c r="D14" s="9" t="n">
        <v>18</v>
      </c>
      <c r="E14" s="9" t="n">
        <v>12</v>
      </c>
      <c r="F14" s="10">
        <f>SUM(D14:E14)</f>
        <v/>
      </c>
    </row>
    <row r="15">
      <c r="A15" s="7" t="inlineStr">
        <is>
          <t>Recognitions &amp; Rewards</t>
        </is>
      </c>
      <c r="B15" s="8" t="inlineStr">
        <is>
          <t>count</t>
        </is>
      </c>
      <c r="C15" s="8" t="n"/>
      <c r="D15" s="9" t="n">
        <v>27</v>
      </c>
      <c r="E15" s="9" t="n">
        <v>13</v>
      </c>
      <c r="F15" s="10">
        <f>SUM(D15:E15)</f>
        <v/>
      </c>
    </row>
    <row r="17">
      <c r="A17" s="11" t="inlineStr">
        <is>
          <t>▶  CALCULATED KPI RATES  (auto-computed from input data above)</t>
        </is>
      </c>
    </row>
    <row r="18">
      <c r="A18" s="12" t="inlineStr">
        <is>
          <t>Fatality Rate</t>
        </is>
      </c>
      <c r="B18" s="8" t="inlineStr">
        <is>
          <t>per 200k MH</t>
        </is>
      </c>
      <c r="C18" s="13" t="n">
        <v>0.2</v>
      </c>
      <c r="D18" s="14">
        <f>IF(D6=0,"",D8*200000/D6)</f>
        <v/>
      </c>
      <c r="E18" s="14">
        <f>IF(E6=0,"",E8*200000/E6)</f>
        <v/>
      </c>
      <c r="F18" s="15">
        <f>IF(F6=0,"",F8*200000/F6)</f>
        <v/>
      </c>
    </row>
    <row r="19">
      <c r="A19" s="12" t="inlineStr">
        <is>
          <t>Lost Time Injury Frequency Rate</t>
        </is>
      </c>
      <c r="B19" s="8" t="inlineStr">
        <is>
          <t>per 200k MH</t>
        </is>
      </c>
      <c r="C19" s="13" t="n">
        <v>0.1</v>
      </c>
      <c r="D19" s="14">
        <f>IF(D6=0,"",D9*200000/D6)</f>
        <v/>
      </c>
      <c r="E19" s="14">
        <f>IF(E6=0,"",E9*200000/E6)</f>
        <v/>
      </c>
      <c r="F19" s="15">
        <f>IF(F6=0,"",F9*200000/F6)</f>
        <v/>
      </c>
    </row>
    <row r="20">
      <c r="A20" s="12" t="inlineStr">
        <is>
          <t>Total Recordable Incident Rate</t>
        </is>
      </c>
      <c r="B20" s="8" t="inlineStr">
        <is>
          <t>per 200k MH</t>
        </is>
      </c>
      <c r="C20" s="13" t="n">
        <v>0.1</v>
      </c>
      <c r="D20" s="14">
        <f>IF(D6=0,"",D11*200000/D6)</f>
        <v/>
      </c>
      <c r="E20" s="14">
        <f>IF(E6=0,"",E11*200000/E6)</f>
        <v/>
      </c>
      <c r="F20" s="15">
        <f>IF(F6=0,"",F11*200000/F6)</f>
        <v/>
      </c>
    </row>
    <row r="21">
      <c r="A21" s="12" t="inlineStr">
        <is>
          <t>Near Miss Rate</t>
        </is>
      </c>
      <c r="B21" s="8" t="inlineStr">
        <is>
          <t>per 200k MH</t>
        </is>
      </c>
      <c r="C21" s="13" t="n">
        <v>0.15</v>
      </c>
      <c r="D21" s="14">
        <f>IF(D6=0,"",D12*200000/D6)</f>
        <v/>
      </c>
      <c r="E21" s="14">
        <f>IF(E6=0,"",E12*200000/E6)</f>
        <v/>
      </c>
      <c r="F21" s="15">
        <f>IF(F6=0,"",F12*200000/F6)</f>
        <v/>
      </c>
    </row>
    <row r="22">
      <c r="A22" s="12" t="inlineStr">
        <is>
          <t>Safety Observation Rate</t>
        </is>
      </c>
      <c r="B22" s="8" t="inlineStr">
        <is>
          <t>per 200k MH</t>
        </is>
      </c>
      <c r="C22" s="13" t="n">
        <v>0.15</v>
      </c>
      <c r="D22" s="14">
        <f>IF(D6=0,"",D13*200000/D6)</f>
        <v/>
      </c>
      <c r="E22" s="14">
        <f>IF(E6=0,"",E13*200000/E6)</f>
        <v/>
      </c>
      <c r="F22" s="15">
        <f>IF(F6=0,"",F13*200000/F6)</f>
        <v/>
      </c>
    </row>
    <row r="23">
      <c r="A23" s="12" t="inlineStr">
        <is>
          <t>Leadership Engagement Rate</t>
        </is>
      </c>
      <c r="B23" s="8" t="inlineStr">
        <is>
          <t>per 200k MH</t>
        </is>
      </c>
      <c r="C23" s="13" t="n">
        <v>0.15</v>
      </c>
      <c r="D23" s="14">
        <f>IF(D6=0,"",D14*200000/D6)</f>
        <v/>
      </c>
      <c r="E23" s="14">
        <f>IF(E6=0,"",E14*200000/E6)</f>
        <v/>
      </c>
      <c r="F23" s="15">
        <f>IF(F6=0,"",F14*200000/F6)</f>
        <v/>
      </c>
    </row>
    <row r="24">
      <c r="A24" s="12" t="inlineStr">
        <is>
          <t>Recognitions &amp; Rewards Rate</t>
        </is>
      </c>
      <c r="B24" s="8" t="inlineStr">
        <is>
          <t>per 200k MH</t>
        </is>
      </c>
      <c r="C24" s="13" t="n">
        <v>0.15</v>
      </c>
      <c r="D24" s="14">
        <f>IF(D6=0,"",D15*200000/D6)</f>
        <v/>
      </c>
      <c r="E24" s="14">
        <f>IF(E6=0,"",E15*200000/E6)</f>
        <v/>
      </c>
      <c r="F24" s="15">
        <f>IF(F6=0,"",F15*200000/F6)</f>
        <v/>
      </c>
    </row>
    <row r="26">
      <c r="A26" s="16" t="inlineStr">
        <is>
          <t>▶  KPI SCORING  (weight × score) — automatically applied from calculated rates</t>
        </is>
      </c>
    </row>
    <row r="27">
      <c r="A27" s="4" t="inlineStr">
        <is>
          <t>KPI</t>
        </is>
      </c>
      <c r="B27" s="4" t="inlineStr">
        <is>
          <t>Score Criteria</t>
        </is>
      </c>
      <c r="C27" s="4" t="inlineStr">
        <is>
          <t>Weight</t>
        </is>
      </c>
      <c r="D27" s="4" t="inlineStr">
        <is>
          <t>Org A Member 1
Weighted Score</t>
        </is>
      </c>
      <c r="E27" s="4" t="inlineStr">
        <is>
          <t>Org B Member 1
Weighted Score</t>
        </is>
      </c>
      <c r="F27" s="5" t="inlineStr">
        <is>
          <t>Portfolio
Weighted Score</t>
        </is>
      </c>
    </row>
    <row r="28" ht="22" customHeight="1">
      <c r="A28" s="7" t="inlineStr">
        <is>
          <t>Fatality Rate</t>
        </is>
      </c>
      <c r="B28" s="17" t="inlineStr">
        <is>
          <t>0→100% | ≤0.01→90% | ≤0.05→80% | ≤0.1→70% | &gt;0.1→0%</t>
        </is>
      </c>
      <c r="C28" s="13" t="n">
        <v>0.2</v>
      </c>
      <c r="D28" s="18">
        <f>C28*(IF(D18"","",IF(D180,1,IF(D18&lt;0.01,0.9,IF(D18&lt;0.05,0.8,IF(D18&lt;0.1,0.7,0))))))</f>
        <v/>
      </c>
      <c r="E28" s="18">
        <f>C28*(IF(E18"","",IF(E180,1,IF(E18&lt;0.01,0.9,IF(E18&lt;0.05,0.8,IF(E18&lt;0.1,0.7,0))))))</f>
        <v/>
      </c>
      <c r="F28" s="19">
        <f>C28*(IF(F18"","",IF(F180,1,IF(F18&lt;0.01,0.9,IF(F18&lt;0.05,0.8,IF(F18&lt;0.1,0.7,0))))))</f>
        <v/>
      </c>
    </row>
    <row r="29" ht="22" customHeight="1">
      <c r="A29" s="7" t="inlineStr">
        <is>
          <t>Lost Time Injury Frequency Rate</t>
        </is>
      </c>
      <c r="B29" s="17" t="inlineStr">
        <is>
          <t>0→100% | ≤0.04→90% | ≤0.1→80% | ≤0.2→70% | &gt;0.2→0%</t>
        </is>
      </c>
      <c r="C29" s="13" t="n">
        <v>0.1</v>
      </c>
      <c r="D29" s="18">
        <f>C29*(IF(D19"","",IF(D190,1,IF(D19&lt;0.04,0.9,IF(D19&lt;0.1,0.8,IF(D19&lt;0.2,0.7,0))))))</f>
        <v/>
      </c>
      <c r="E29" s="18">
        <f>C29*(IF(E19"","",IF(E190,1,IF(E19&lt;0.04,0.9,IF(E19&lt;0.1,0.8,IF(E19&lt;0.2,0.7,0))))))</f>
        <v/>
      </c>
      <c r="F29" s="19">
        <f>C29*(IF(F19"","",IF(F190,1,IF(F19&lt;0.04,0.9,IF(F19&lt;0.1,0.8,IF(F19&lt;0.2,0.7,0))))))</f>
        <v/>
      </c>
    </row>
    <row r="30" ht="22" customHeight="1">
      <c r="A30" s="7" t="inlineStr">
        <is>
          <t>Total Recordable Incident Rate</t>
        </is>
      </c>
      <c r="B30" s="17" t="inlineStr">
        <is>
          <t>0→100% | ≤0.045→90% | ≤0.09→80% | ≤0.15→70% | &gt;0.15→0%</t>
        </is>
      </c>
      <c r="C30" s="13" t="n">
        <v>0.1</v>
      </c>
      <c r="D30" s="18">
        <f>C30*(IF(D20"","",IF(D200,1,IF(D20&lt;0.045,0.9,IF(D20&lt;0.09,0.8,IF(D20&lt;0.15,0.7,0))))))</f>
        <v/>
      </c>
      <c r="E30" s="18">
        <f>C30*(IF(E20"","",IF(E200,1,IF(E20&lt;0.045,0.9,IF(E20&lt;0.09,0.8,IF(E20&lt;0.15,0.7,0))))))</f>
        <v/>
      </c>
      <c r="F30" s="19">
        <f>C30*(IF(F20"","",IF(F200,1,IF(F20&lt;0.045,0.9,IF(F20&lt;0.09,0.8,IF(F20&lt;0.15,0.7,0))))))</f>
        <v/>
      </c>
    </row>
    <row r="31" ht="22" customHeight="1">
      <c r="A31" s="7" t="inlineStr">
        <is>
          <t>Near Miss Rate</t>
        </is>
      </c>
      <c r="B31" s="17" t="inlineStr">
        <is>
          <t>≥40→100% | ≥30→90% | ≥20→80% | ≥10→70% | &lt;10→60%</t>
        </is>
      </c>
      <c r="C31" s="13" t="n">
        <v>0.15</v>
      </c>
      <c r="D31" s="18">
        <f>C31*(IF(D21"","",IF(D21&gt;40,1,IF(D21&gt;30,0.9,IF(D21&gt;20,0.8,IF(D21&gt;10,0.7,0.6))))))</f>
        <v/>
      </c>
      <c r="E31" s="18">
        <f>C31*(IF(E21"","",IF(E21&gt;40,1,IF(E21&gt;30,0.9,IF(E21&gt;20,0.8,IF(E21&gt;10,0.7,0.6))))))</f>
        <v/>
      </c>
      <c r="F31" s="19">
        <f>C31*(IF(F21"","",IF(F21&gt;40,1,IF(F21&gt;30,0.9,IF(F21&gt;20,0.8,IF(F21&gt;10,0.7,0.6))))))</f>
        <v/>
      </c>
    </row>
    <row r="32" ht="22" customHeight="1">
      <c r="A32" s="7" t="inlineStr">
        <is>
          <t>Safety Observation Rate</t>
        </is>
      </c>
      <c r="B32" s="17" t="inlineStr">
        <is>
          <t>≥100→100% | ≥80→90% | ≥60→80% | ≥40→70% | &lt;40→0%</t>
        </is>
      </c>
      <c r="C32" s="13" t="n">
        <v>0.15</v>
      </c>
      <c r="D32" s="18">
        <f>C32*(IF(D22"","",IF(D22&gt;100,1,IF(D22&gt;80,0.9,IF(D22&gt;60,0.8,IF(D22&gt;40,0.7,0))))))</f>
        <v/>
      </c>
      <c r="E32" s="18">
        <f>C32*(IF(E22"","",IF(E22&gt;100,1,IF(E22&gt;80,0.9,IF(E22&gt;60,0.8,IF(E22&gt;40,0.7,0))))))</f>
        <v/>
      </c>
      <c r="F32" s="19">
        <f>C32*(IF(F22"","",IF(F22&gt;100,1,IF(F22&gt;80,0.9,IF(F22&gt;60,0.8,IF(F22&gt;40,0.7,0))))))</f>
        <v/>
      </c>
    </row>
    <row r="33" ht="22" customHeight="1">
      <c r="A33" s="7" t="inlineStr">
        <is>
          <t>Leadership Engagement Rate</t>
        </is>
      </c>
      <c r="B33" s="17" t="inlineStr">
        <is>
          <t>≥7→100% | ≥5→90% | ≥3→85% | ≥2→80% | &lt;2→70%</t>
        </is>
      </c>
      <c r="C33" s="13" t="n">
        <v>0.15</v>
      </c>
      <c r="D33" s="18">
        <f>C33*(IF(D23"","",IF(D23&gt;7,1,IF(D23&gt;5,0.9,IF(D23&gt;3,0.85,IF(D23&gt;2,0.8,0.7))))))</f>
        <v/>
      </c>
      <c r="E33" s="18">
        <f>C33*(IF(E23"","",IF(E23&gt;7,1,IF(E23&gt;5,0.9,IF(E23&gt;3,0.85,IF(E23&gt;2,0.8,0.7))))))</f>
        <v/>
      </c>
      <c r="F33" s="19">
        <f>C33*(IF(F23"","",IF(F23&gt;7,1,IF(F23&gt;5,0.9,IF(F23&gt;3,0.85,IF(F23&gt;2,0.8,0.7))))))</f>
        <v/>
      </c>
    </row>
    <row r="34" ht="22" customHeight="1">
      <c r="A34" s="7" t="inlineStr">
        <is>
          <t>Recognitions &amp; Rewards Rate</t>
        </is>
      </c>
      <c r="B34" s="17" t="inlineStr">
        <is>
          <t>≥0.4→100% | ≥0.3→95% | ≥0.2→90% | ≥0.1→85% | &lt;0.1→80%</t>
        </is>
      </c>
      <c r="C34" s="13" t="n">
        <v>0.15</v>
      </c>
      <c r="D34" s="18">
        <f>C34*(IF(D24"","",IF(D24&gt;0.4,1,IF(D24&gt;0.3,0.95,IF(D24&gt;0.2,0.9,IF(D24&gt;0.1,0.85,0.8))))))</f>
        <v/>
      </c>
      <c r="E34" s="18">
        <f>C34*(IF(E24"","",IF(E24&gt;0.4,1,IF(E24&gt;0.3,0.95,IF(E24&gt;0.2,0.9,IF(E24&gt;0.1,0.85,0.8))))))</f>
        <v/>
      </c>
      <c r="F34" s="19">
        <f>C34*(IF(F24"","",IF(F24&gt;0.4,1,IF(F24&gt;0.3,0.95,IF(F24&gt;0.2,0.9,IF(F24&gt;0.1,0.85,0.8))))))</f>
        <v/>
      </c>
    </row>
    <row r="35" ht="28" customHeight="1">
      <c r="A35" s="20" t="inlineStr">
        <is>
          <t>OVERALL HSE INDEX SCORE</t>
        </is>
      </c>
      <c r="D35" s="21">
        <f>SUM(D28:D34)</f>
        <v/>
      </c>
      <c r="E35" s="21">
        <f>SUM(E28:E34)</f>
        <v/>
      </c>
      <c r="F35" s="21">
        <f>SUM(F28:F34)</f>
        <v/>
      </c>
    </row>
  </sheetData>
  <mergeCells count="6">
    <mergeCell ref="A2:H2"/>
    <mergeCell ref="A5:F5"/>
    <mergeCell ref="A17:F17"/>
    <mergeCell ref="A35:C35"/>
    <mergeCell ref="A1:H1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2026-05-10T09:26:25Z</dcterms:created>
  <dcterms:modified xsi:type="dcterms:W3CDTF">2026-05-10T09:26:25Z</dcterms:modified>
</cp:coreProperties>
</file>