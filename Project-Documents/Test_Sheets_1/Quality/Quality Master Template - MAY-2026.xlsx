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color rgb="00375623"/>
      <sz val="9"/>
    </font>
    <font>
      <name val="Calibri"/>
      <sz val="9"/>
    </font>
    <font>
      <name val="Calibri"/>
      <b val="1"/>
      <sz val="9"/>
    </font>
    <font>
      <name val="Calibri"/>
      <b val="1"/>
      <color rgb="007F3F00"/>
      <sz val="9"/>
    </font>
    <font>
      <name val="Calibri"/>
      <b val="1"/>
      <color rgb="00C00000"/>
    </font>
    <font>
      <name val="Calibri"/>
      <b val="1"/>
      <color rgb="001F3864"/>
      <sz val="9"/>
    </font>
    <font>
      <name val="Calibri"/>
      <sz val="8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BF3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 wrapText="1"/>
    </xf>
    <xf numFmtId="164" fontId="6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QUALITY KPI MASTER CONSOLIDATION SHEET – MAY 2026</t>
        </is>
      </c>
    </row>
    <row r="2" ht="18" customHeight="1">
      <c r="A2" s="2" t="inlineStr">
        <is>
          <t>Reporting Period: May 2026   |   Current Test Project   |   All figures cumulative to data date</t>
        </is>
      </c>
    </row>
    <row r="4" ht="32" customHeight="1">
      <c r="A4" s="3" t="inlineStr">
        <is>
          <t>KPI Metric</t>
        </is>
      </c>
      <c r="B4" s="3" t="inlineStr">
        <is>
          <t>Unit</t>
        </is>
      </c>
      <c r="C4" s="3" t="inlineStr">
        <is>
          <t>Weight</t>
        </is>
      </c>
      <c r="D4" s="3" t="inlineStr">
        <is>
          <t>Org A Member 2</t>
        </is>
      </c>
      <c r="E4" s="3" t="inlineStr">
        <is>
          <t>Org B Member 2</t>
        </is>
      </c>
      <c r="F4" s="4" t="inlineStr">
        <is>
          <t>PORTFOLIO TOTAL / AVG</t>
        </is>
      </c>
    </row>
    <row r="5">
      <c r="A5" s="5" t="inlineStr">
        <is>
          <t>▶  RAW INPUT DATA  (paste totals from each subcontractor's submission)</t>
        </is>
      </c>
    </row>
    <row r="6">
      <c r="A6" s="6" t="inlineStr">
        <is>
          <t>Total Technical Submittals</t>
        </is>
      </c>
      <c r="B6" s="7" t="inlineStr">
        <is>
          <t>count</t>
        </is>
      </c>
      <c r="C6" s="7" t="n"/>
      <c r="D6" s="8" t="n">
        <v>443</v>
      </c>
      <c r="E6" s="8" t="n">
        <v>573</v>
      </c>
      <c r="F6" s="9">
        <f>SUM(D6:E6)</f>
        <v/>
      </c>
    </row>
    <row r="7">
      <c r="A7" s="6" t="inlineStr">
        <is>
          <t>Code A (Accepted)</t>
        </is>
      </c>
      <c r="B7" s="7" t="inlineStr">
        <is>
          <t>count</t>
        </is>
      </c>
      <c r="C7" s="7" t="n"/>
      <c r="D7" s="8" t="n">
        <v>384</v>
      </c>
      <c r="E7" s="8" t="n">
        <v>505</v>
      </c>
      <c r="F7" s="9">
        <f>SUM(D7:E7)</f>
        <v/>
      </c>
    </row>
    <row r="8">
      <c r="A8" s="6" t="inlineStr">
        <is>
          <t>Code B (Accepted w/Comments)</t>
        </is>
      </c>
      <c r="B8" s="7" t="inlineStr">
        <is>
          <t>count</t>
        </is>
      </c>
      <c r="C8" s="7" t="n"/>
      <c r="D8" s="8" t="n">
        <v>50</v>
      </c>
      <c r="E8" s="8" t="n">
        <v>58</v>
      </c>
      <c r="F8" s="9">
        <f>SUM(D8:E8)</f>
        <v/>
      </c>
    </row>
    <row r="9">
      <c r="A9" s="6" t="inlineStr">
        <is>
          <t>Code C (Rejected)</t>
        </is>
      </c>
      <c r="B9" s="7" t="inlineStr">
        <is>
          <t>count</t>
        </is>
      </c>
      <c r="C9" s="7" t="n"/>
      <c r="D9" s="8" t="n">
        <v>9</v>
      </c>
      <c r="E9" s="8" t="n">
        <v>10</v>
      </c>
      <c r="F9" s="9">
        <f>SUM(D9:E9)</f>
        <v/>
      </c>
    </row>
    <row r="10">
      <c r="A10" s="6" t="inlineStr">
        <is>
          <t>Planned Quality Audits</t>
        </is>
      </c>
      <c r="B10" s="7" t="inlineStr">
        <is>
          <t>count</t>
        </is>
      </c>
      <c r="C10" s="7" t="n"/>
      <c r="D10" s="8" t="n">
        <v>56</v>
      </c>
      <c r="E10" s="8" t="n">
        <v>68</v>
      </c>
      <c r="F10" s="9">
        <f>SUM(D10:E10)</f>
        <v/>
      </c>
    </row>
    <row r="11">
      <c r="A11" s="6" t="inlineStr">
        <is>
          <t>Conducted Quality Audits</t>
        </is>
      </c>
      <c r="B11" s="7" t="inlineStr">
        <is>
          <t>count</t>
        </is>
      </c>
      <c r="C11" s="7" t="n"/>
      <c r="D11" s="8" t="n">
        <v>51</v>
      </c>
      <c r="E11" s="8" t="n">
        <v>61</v>
      </c>
      <c r="F11" s="9">
        <f>SUM(D11:E11)</f>
        <v/>
      </c>
    </row>
    <row r="12">
      <c r="A12" s="6" t="inlineStr">
        <is>
          <t>Leadership Visits</t>
        </is>
      </c>
      <c r="B12" s="7" t="inlineStr">
        <is>
          <t>count</t>
        </is>
      </c>
      <c r="C12" s="7" t="n"/>
      <c r="D12" s="8" t="n">
        <v>10</v>
      </c>
      <c r="E12" s="8" t="n">
        <v>16</v>
      </c>
      <c r="F12" s="9">
        <f>SUM(D12:E12)</f>
        <v/>
      </c>
    </row>
    <row r="13">
      <c r="A13" s="6" t="inlineStr">
        <is>
          <t>Received MIRs</t>
        </is>
      </c>
      <c r="B13" s="7" t="inlineStr">
        <is>
          <t>count</t>
        </is>
      </c>
      <c r="C13" s="7" t="n"/>
      <c r="D13" s="8" t="n">
        <v>1380</v>
      </c>
      <c r="E13" s="8" t="n">
        <v>1785</v>
      </c>
      <c r="F13" s="9">
        <f>SUM(D13:E13)</f>
        <v/>
      </c>
    </row>
    <row r="14">
      <c r="A14" s="6" t="inlineStr">
        <is>
          <t>Accepted MIRs</t>
        </is>
      </c>
      <c r="B14" s="7" t="inlineStr">
        <is>
          <t>count</t>
        </is>
      </c>
      <c r="C14" s="7" t="n"/>
      <c r="D14" s="8" t="n">
        <v>1334</v>
      </c>
      <c r="E14" s="8" t="n">
        <v>1721</v>
      </c>
      <c r="F14" s="9">
        <f>SUM(D14:E14)</f>
        <v/>
      </c>
    </row>
    <row r="15">
      <c r="A15" s="6" t="inlineStr">
        <is>
          <t>Received WIRs</t>
        </is>
      </c>
      <c r="B15" s="7" t="inlineStr">
        <is>
          <t>count</t>
        </is>
      </c>
      <c r="C15" s="7" t="n"/>
      <c r="D15" s="8" t="n">
        <v>1023</v>
      </c>
      <c r="E15" s="8" t="n">
        <v>1350</v>
      </c>
      <c r="F15" s="9">
        <f>SUM(D15:E15)</f>
        <v/>
      </c>
    </row>
    <row r="16">
      <c r="A16" s="6" t="inlineStr">
        <is>
          <t>Accepted WIRs</t>
        </is>
      </c>
      <c r="B16" s="7" t="inlineStr">
        <is>
          <t>count</t>
        </is>
      </c>
      <c r="C16" s="7" t="n"/>
      <c r="D16" s="8" t="n">
        <v>980</v>
      </c>
      <c r="E16" s="8" t="n">
        <v>1294</v>
      </c>
      <c r="F16" s="9">
        <f>SUM(D16:E16)</f>
        <v/>
      </c>
    </row>
    <row r="17">
      <c r="A17" s="6" t="inlineStr">
        <is>
          <t>Raised NCRs</t>
        </is>
      </c>
      <c r="B17" s="7" t="inlineStr">
        <is>
          <t>count</t>
        </is>
      </c>
      <c r="C17" s="7" t="n"/>
      <c r="D17" s="8" t="n">
        <v>16</v>
      </c>
      <c r="E17" s="8" t="n">
        <v>21</v>
      </c>
      <c r="F17" s="9">
        <f>SUM(D17:E17)</f>
        <v/>
      </c>
    </row>
    <row r="18">
      <c r="A18" s="6" t="inlineStr">
        <is>
          <t>Closed NCRs</t>
        </is>
      </c>
      <c r="B18" s="7" t="inlineStr">
        <is>
          <t>count</t>
        </is>
      </c>
      <c r="C18" s="7" t="n"/>
      <c r="D18" s="8" t="n">
        <v>13</v>
      </c>
      <c r="E18" s="8" t="n">
        <v>17</v>
      </c>
      <c r="F18" s="9">
        <f>SUM(D18:E18)</f>
        <v/>
      </c>
    </row>
    <row r="20">
      <c r="A20" s="10" t="inlineStr">
        <is>
          <t>▶  CALCULATED KPI RATES  (auto-computed — portfolio uses combined totals)</t>
        </is>
      </c>
    </row>
    <row r="21">
      <c r="A21" s="11" t="inlineStr">
        <is>
          <t>Technical Submittal Approval Rate</t>
        </is>
      </c>
      <c r="B21" s="7" t="inlineStr">
        <is>
          <t>ratio</t>
        </is>
      </c>
      <c r="C21" s="12" t="n">
        <v>0.2</v>
      </c>
      <c r="D21" s="13">
        <f>IF(D6=0,"",(D7+D8)/D6)</f>
        <v/>
      </c>
      <c r="E21" s="13">
        <f>IF(E6=0,"",(E7+E8)/E6)</f>
        <v/>
      </c>
      <c r="F21" s="14">
        <f>IF(F6=0,"",(F7+F8)/F6)</f>
        <v/>
      </c>
    </row>
    <row r="22">
      <c r="A22" s="11" t="inlineStr">
        <is>
          <t>Audit Completion Rate</t>
        </is>
      </c>
      <c r="B22" s="7" t="inlineStr">
        <is>
          <t>ratio</t>
        </is>
      </c>
      <c r="C22" s="12" t="n">
        <v>0.1</v>
      </c>
      <c r="D22" s="13">
        <f>IF(D10=0,"",D11/D10)</f>
        <v/>
      </c>
      <c r="E22" s="13">
        <f>IF(E10=0,"",E11/E10)</f>
        <v/>
      </c>
      <c r="F22" s="14">
        <f>IF(F10=0,"",F11/F10)</f>
        <v/>
      </c>
    </row>
    <row r="23">
      <c r="A23" s="11" t="inlineStr">
        <is>
          <t>MIR Acceptance Rate</t>
        </is>
      </c>
      <c r="B23" s="7" t="inlineStr">
        <is>
          <t>ratio</t>
        </is>
      </c>
      <c r="C23" s="12" t="n">
        <v>0.2</v>
      </c>
      <c r="D23" s="13">
        <f>IF(D13=0,"",D14/D13)</f>
        <v/>
      </c>
      <c r="E23" s="13">
        <f>IF(E13=0,"",E14/E13)</f>
        <v/>
      </c>
      <c r="F23" s="14">
        <f>IF(F13=0,"",F14/F13)</f>
        <v/>
      </c>
    </row>
    <row r="24">
      <c r="A24" s="11" t="inlineStr">
        <is>
          <t>WIR Acceptance Rate</t>
        </is>
      </c>
      <c r="B24" s="7" t="inlineStr">
        <is>
          <t>ratio</t>
        </is>
      </c>
      <c r="C24" s="12" t="n">
        <v>0.2</v>
      </c>
      <c r="D24" s="13">
        <f>IF(D15=0,"",D16/D15)</f>
        <v/>
      </c>
      <c r="E24" s="13">
        <f>IF(E15=0,"",E16/E15)</f>
        <v/>
      </c>
      <c r="F24" s="14">
        <f>IF(F15=0,"",F16/F15)</f>
        <v/>
      </c>
    </row>
    <row r="25">
      <c r="A25" s="11" t="inlineStr">
        <is>
          <t>NCR Closure Rate</t>
        </is>
      </c>
      <c r="B25" s="7" t="inlineStr">
        <is>
          <t>ratio</t>
        </is>
      </c>
      <c r="C25" s="12" t="n">
        <v>0.2</v>
      </c>
      <c r="D25" s="13">
        <f>IF(D17=0,"",D18/D17)</f>
        <v/>
      </c>
      <c r="E25" s="13">
        <f>IF(E17=0,"",E18/E17)</f>
        <v/>
      </c>
      <c r="F25" s="14">
        <f>IF(F17=0,"",F18/F17)</f>
        <v/>
      </c>
    </row>
    <row r="26">
      <c r="A26" s="11" t="inlineStr">
        <is>
          <t>Leadership Visit Rate</t>
        </is>
      </c>
      <c r="B26" s="7" t="inlineStr">
        <is>
          <t>visits/month</t>
        </is>
      </c>
      <c r="C26" s="12" t="n">
        <v>0.1</v>
      </c>
      <c r="D26" s="13">
        <f>D12</f>
        <v/>
      </c>
      <c r="E26" s="13">
        <f>E12</f>
        <v/>
      </c>
      <c r="F26" s="14">
        <f>SUM(D12:E12)</f>
        <v/>
      </c>
    </row>
    <row r="28">
      <c r="A28" s="15" t="inlineStr">
        <is>
          <t>▶  KPI SCORING  (weight × score)</t>
        </is>
      </c>
    </row>
    <row r="29">
      <c r="A29" s="3" t="inlineStr">
        <is>
          <t>KPI</t>
        </is>
      </c>
      <c r="B29" s="3" t="inlineStr">
        <is>
          <t>Score Criteria</t>
        </is>
      </c>
      <c r="C29" s="3" t="inlineStr">
        <is>
          <t>Weight</t>
        </is>
      </c>
      <c r="D29" s="3" t="inlineStr">
        <is>
          <t>Org A Member 2
Weighted Score</t>
        </is>
      </c>
      <c r="E29" s="3" t="inlineStr">
        <is>
          <t>Org B Member 2
Weighted Score</t>
        </is>
      </c>
      <c r="F29" s="4" t="inlineStr">
        <is>
          <t>Portfolio
Weighted Score</t>
        </is>
      </c>
    </row>
    <row r="30" ht="22" customHeight="1">
      <c r="A30" s="6" t="inlineStr">
        <is>
          <t>Technical Submittal Approval Rate</t>
        </is>
      </c>
      <c r="B30" s="16" t="inlineStr">
        <is>
          <t>≥0.95→100% | ≥0.90→90% | ≥0.85→80% | ≥0.80→70% | &lt;0.80→60%</t>
        </is>
      </c>
      <c r="C30" s="12" t="n">
        <v>0.2</v>
      </c>
      <c r="D30" s="17">
        <f>C30*(IF(D21"","",IF(D21&gt;0.95,1,IF(D21&gt;0.9,0.9,IF(D21&gt;0.85,0.8,IF(D21&gt;0.8,0.7,0.6))))))</f>
        <v/>
      </c>
      <c r="E30" s="17">
        <f>C30*(IF(E21"","",IF(E21&gt;0.95,1,IF(E21&gt;0.9,0.9,IF(E21&gt;0.85,0.8,IF(E21&gt;0.8,0.7,0.6))))))</f>
        <v/>
      </c>
      <c r="F30" s="14">
        <f>C30*(IF(F21"","",IF(F21&gt;0.95,1,IF(F21&gt;0.9,0.9,IF(F21&gt;0.85,0.8,IF(F21&gt;0.8,0.7,0.6))))))</f>
        <v/>
      </c>
    </row>
    <row r="31" ht="22" customHeight="1">
      <c r="A31" s="6" t="inlineStr">
        <is>
          <t>Audit Completion Rate</t>
        </is>
      </c>
      <c r="B31" s="16" t="inlineStr">
        <is>
          <t>≥0.95→100% | ≥0.90→90% | ≥0.80→80% | ≥0.70→70% | &lt;0.70→60%</t>
        </is>
      </c>
      <c r="C31" s="12" t="n">
        <v>0.1</v>
      </c>
      <c r="D31" s="17">
        <f>C31*(IF(D22"","",IF(D22&gt;0.95,1,IF(D22&gt;0.9,0.9,IF(D22&gt;0.8,0.8,IF(D22&gt;0.7,0.7,0.6))))))</f>
        <v/>
      </c>
      <c r="E31" s="17">
        <f>C31*(IF(E22"","",IF(E22&gt;0.95,1,IF(E22&gt;0.9,0.9,IF(E22&gt;0.8,0.8,IF(E22&gt;0.7,0.7,0.6))))))</f>
        <v/>
      </c>
      <c r="F31" s="14">
        <f>C31*(IF(F22"","",IF(F22&gt;0.95,1,IF(F22&gt;0.9,0.9,IF(F22&gt;0.8,0.8,IF(F22&gt;0.7,0.7,0.6))))))</f>
        <v/>
      </c>
    </row>
    <row r="32" ht="22" customHeight="1">
      <c r="A32" s="6" t="inlineStr">
        <is>
          <t>MIR Acceptance Rate</t>
        </is>
      </c>
      <c r="B32" s="16" t="inlineStr">
        <is>
          <t>≥0.98→100% | ≥0.95→90% | ≥0.90→80% | ≥0.85→70% | &lt;0.85→60%</t>
        </is>
      </c>
      <c r="C32" s="12" t="n">
        <v>0.2</v>
      </c>
      <c r="D32" s="17">
        <f>C32*(IF(D23"","",IF(D23&gt;0.98,1,IF(D23&gt;0.95,0.9,IF(D23&gt;0.9,0.8,IF(D23&gt;0.85,0.7,0.6))))))</f>
        <v/>
      </c>
      <c r="E32" s="17">
        <f>C32*(IF(E23"","",IF(E23&gt;0.98,1,IF(E23&gt;0.95,0.9,IF(E23&gt;0.9,0.8,IF(E23&gt;0.85,0.7,0.6))))))</f>
        <v/>
      </c>
      <c r="F32" s="14">
        <f>C32*(IF(F23"","",IF(F23&gt;0.98,1,IF(F23&gt;0.95,0.9,IF(F23&gt;0.9,0.8,IF(F23&gt;0.85,0.7,0.6))))))</f>
        <v/>
      </c>
    </row>
    <row r="33" ht="22" customHeight="1">
      <c r="A33" s="6" t="inlineStr">
        <is>
          <t>WIR Acceptance Rate</t>
        </is>
      </c>
      <c r="B33" s="16" t="inlineStr">
        <is>
          <t>≥0.98→100% | ≥0.95→90% | ≥0.90→80% | ≥0.85→70% | &lt;0.85→60%</t>
        </is>
      </c>
      <c r="C33" s="12" t="n">
        <v>0.2</v>
      </c>
      <c r="D33" s="17">
        <f>C33*(IF(D24"","",IF(D24&gt;0.98,1,IF(D24&gt;0.95,0.9,IF(D24&gt;0.9,0.8,IF(D24&gt;0.85,0.7,0.6))))))</f>
        <v/>
      </c>
      <c r="E33" s="17">
        <f>C33*(IF(E24"","",IF(E24&gt;0.98,1,IF(E24&gt;0.95,0.9,IF(E24&gt;0.9,0.8,IF(E24&gt;0.85,0.7,0.6))))))</f>
        <v/>
      </c>
      <c r="F33" s="14">
        <f>C33*(IF(F24"","",IF(F24&gt;0.98,1,IF(F24&gt;0.95,0.9,IF(F24&gt;0.9,0.8,IF(F24&gt;0.85,0.7,0.6))))))</f>
        <v/>
      </c>
    </row>
    <row r="34" ht="22" customHeight="1">
      <c r="A34" s="6" t="inlineStr">
        <is>
          <t>NCR Closure Rate</t>
        </is>
      </c>
      <c r="B34" s="16" t="inlineStr">
        <is>
          <t>≥0.95→100% | ≥0.90→90% | ≥0.80→80% | ≥0.70→70% | &lt;0.70→50%</t>
        </is>
      </c>
      <c r="C34" s="12" t="n">
        <v>0.2</v>
      </c>
      <c r="D34" s="17">
        <f>C34*(IF(D25"","",IF(D25&gt;0.95,1,IF(D25&gt;0.9,0.9,IF(D25&gt;0.8,0.8,IF(D25&gt;0.7,0.7,0.5))))))</f>
        <v/>
      </c>
      <c r="E34" s="17">
        <f>C34*(IF(E25"","",IF(E25&gt;0.95,1,IF(E25&gt;0.9,0.9,IF(E25&gt;0.8,0.8,IF(E25&gt;0.7,0.7,0.5))))))</f>
        <v/>
      </c>
      <c r="F34" s="14">
        <f>C34*(IF(F25"","",IF(F25&gt;0.95,1,IF(F25&gt;0.9,0.9,IF(F25&gt;0.8,0.8,IF(F25&gt;0.7,0.7,0.5))))))</f>
        <v/>
      </c>
    </row>
    <row r="35" ht="22" customHeight="1">
      <c r="A35" s="6" t="inlineStr">
        <is>
          <t>Leadership Visit Rate</t>
        </is>
      </c>
      <c r="B35" s="16" t="inlineStr">
        <is>
          <t>≥8→100% | ≥6→90% | ≥4→80% | ≥2→70% | &lt;2→60%</t>
        </is>
      </c>
      <c r="C35" s="12" t="n">
        <v>0.1</v>
      </c>
      <c r="D35" s="17">
        <f>C35*(IF(D26"","",IF(D26&gt;8,1,IF(D26&gt;6,0.9,IF(D26&gt;4,0.8,IF(D26&gt;2,0.7,0.6))))))</f>
        <v/>
      </c>
      <c r="E35" s="17">
        <f>C35*(IF(E26"","",IF(E26&gt;8,1,IF(E26&gt;6,0.9,IF(E26&gt;4,0.8,IF(E26&gt;2,0.7,0.6))))))</f>
        <v/>
      </c>
      <c r="F35" s="14">
        <f>C35*(IF(F26"","",IF(F26&gt;8,1,IF(F26&gt;6,0.9,IF(F26&gt;4,0.8,IF(F26&gt;2,0.7,0.6))))))</f>
        <v/>
      </c>
    </row>
    <row r="36" ht="28" customHeight="1">
      <c r="A36" s="18" t="inlineStr">
        <is>
          <t>OVERALL QUALITY INDEX SCORE</t>
        </is>
      </c>
      <c r="D36" s="19">
        <f>SUM(D30:D35)</f>
        <v/>
      </c>
      <c r="E36" s="19">
        <f>SUM(E30:E35)</f>
        <v/>
      </c>
      <c r="F36" s="19">
        <f>SUM(F30:F35)</f>
        <v/>
      </c>
    </row>
  </sheetData>
  <mergeCells count="6">
    <mergeCell ref="A36:C36"/>
    <mergeCell ref="A28:F28"/>
    <mergeCell ref="A2:H2"/>
    <mergeCell ref="A5:F5"/>
    <mergeCell ref="A1:H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2026-05-10T09:26:25Z</dcterms:created>
  <dcterms:modified xsi:type="dcterms:W3CDTF">2026-05-10T09:26:25Z</dcterms:modified>
</cp:coreProperties>
</file>