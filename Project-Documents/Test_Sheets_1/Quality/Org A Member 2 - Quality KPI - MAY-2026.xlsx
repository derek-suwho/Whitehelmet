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 Information" sheetId="1" state="visible" r:id="rId1"/>
    <sheet name="Quality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4"/>
    </font>
    <font>
      <name val="Calibri"/>
      <i val="1"/>
      <color rgb="00595959"/>
      <sz val="9"/>
    </font>
    <font>
      <name val="Calibri"/>
      <b val="1"/>
      <color rgb="00FFFFFF"/>
      <sz val="9"/>
    </font>
    <font>
      <name val="Calibri"/>
      <b val="1"/>
      <sz val="8"/>
    </font>
    <font>
      <name val="Calibri"/>
      <b val="1"/>
      <color rgb="00375623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D9B5"/>
      </patternFill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3" fontId="7" fillId="5" borderId="1" applyAlignment="1" pivotButton="0" quotePrefix="0" xfId="0">
      <alignment horizontal="center" vertical="center" wrapText="1"/>
    </xf>
    <xf numFmtId="3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164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6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</cols>
  <sheetData>
    <row r="1" ht="6" customHeight="1"/>
    <row r="3">
      <c r="A3" s="1" t="inlineStr">
        <is>
          <t>Company Name</t>
        </is>
      </c>
      <c r="B3" s="2" t="inlineStr">
        <is>
          <t>Org A Member 2</t>
        </is>
      </c>
    </row>
    <row r="4">
      <c r="A4" s="1" t="inlineStr">
        <is>
          <t>Reporting Period</t>
        </is>
      </c>
      <c r="B4" s="2" t="inlineStr">
        <is>
          <t>May 2026</t>
        </is>
      </c>
    </row>
    <row r="5">
      <c r="A5" s="1" t="inlineStr">
        <is>
          <t>Submission Date</t>
        </is>
      </c>
      <c r="B5" s="2" t="inlineStr">
        <is>
          <t>2026-05-10</t>
        </is>
      </c>
    </row>
    <row r="6">
      <c r="A6" s="1" t="inlineStr">
        <is>
          <t>Prepared By</t>
        </is>
      </c>
      <c r="B6" s="2" t="inlineStr">
        <is>
          <t>Org A Member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14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20" customWidth="1" min="4" max="4"/>
    <col width="13" customWidth="1" min="5" max="5"/>
    <col width="14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  <col width="11" customWidth="1" min="14" max="14"/>
  </cols>
  <sheetData>
    <row r="2">
      <c r="A2" s="3" t="inlineStr">
        <is>
          <t>Org A Member 2</t>
        </is>
      </c>
    </row>
    <row r="3">
      <c r="A3" s="4" t="inlineStr">
        <is>
          <t>Reporting Period: May 2026</t>
        </is>
      </c>
    </row>
    <row r="4" ht="42" customHeight="1">
      <c r="A4" s="5" t="inlineStr">
        <is>
          <t>This template collects Quality KPIs including technical submittal performance, inspection acceptance rates, NCR management, and audit completion. All figures are cumulative up to the data date.</t>
        </is>
      </c>
    </row>
    <row r="5"/>
    <row r="6"/>
    <row r="8" ht="36" customHeight="1">
      <c r="A8" s="6" t="inlineStr">
        <is>
          <t>Work Package</t>
        </is>
      </c>
      <c r="B8" s="6" t="inlineStr">
        <is>
          <t>Total Technical
Submittals</t>
        </is>
      </c>
      <c r="C8" s="6" t="inlineStr">
        <is>
          <t>Code A
(Accepted)</t>
        </is>
      </c>
      <c r="D8" s="6" t="inlineStr">
        <is>
          <t>Code B
(Accepted w/ Comments)</t>
        </is>
      </c>
      <c r="E8" s="6" t="inlineStr">
        <is>
          <t>Code C
(Rejected)</t>
        </is>
      </c>
      <c r="F8" s="6" t="inlineStr">
        <is>
          <t>Planned
Quality Audits</t>
        </is>
      </c>
      <c r="G8" s="6" t="inlineStr">
        <is>
          <t>Conducted
Quality Audits</t>
        </is>
      </c>
      <c r="H8" s="6" t="inlineStr">
        <is>
          <t>Leadership
Visits</t>
        </is>
      </c>
      <c r="I8" s="6" t="inlineStr">
        <is>
          <t>Received
MIRs</t>
        </is>
      </c>
      <c r="J8" s="6" t="inlineStr">
        <is>
          <t>Accepted
MIRs</t>
        </is>
      </c>
      <c r="K8" s="6" t="inlineStr">
        <is>
          <t>Received
WIRs</t>
        </is>
      </c>
      <c r="L8" s="6" t="inlineStr">
        <is>
          <t>Accepted
WIRs</t>
        </is>
      </c>
      <c r="M8" s="6" t="inlineStr">
        <is>
          <t>Raised
NCRs</t>
        </is>
      </c>
      <c r="N8" s="6" t="inlineStr">
        <is>
          <t>Closed
NCRs</t>
        </is>
      </c>
    </row>
    <row r="9" ht="36" customHeight="1">
      <c r="A9" s="7" t="inlineStr">
        <is>
          <t>Work Package</t>
        </is>
      </c>
      <c r="B9" s="7" t="inlineStr">
        <is>
          <t>Total Technical
Submittals</t>
        </is>
      </c>
      <c r="C9" s="7" t="inlineStr">
        <is>
          <t>Code A
(Accepted)</t>
        </is>
      </c>
      <c r="D9" s="7" t="inlineStr">
        <is>
          <t>Code B
(Accepted w/ Comments)</t>
        </is>
      </c>
      <c r="E9" s="7" t="inlineStr">
        <is>
          <t>Code C
(Rejected)</t>
        </is>
      </c>
      <c r="F9" s="7" t="inlineStr">
        <is>
          <t>Planned
Quality Audits</t>
        </is>
      </c>
      <c r="G9" s="7" t="inlineStr">
        <is>
          <t>Conducted
Quality Audits</t>
        </is>
      </c>
      <c r="H9" s="7" t="inlineStr">
        <is>
          <t>Leadership
Visits</t>
        </is>
      </c>
      <c r="I9" s="7" t="inlineStr">
        <is>
          <t>Received
MIRs</t>
        </is>
      </c>
      <c r="J9" s="7" t="inlineStr">
        <is>
          <t>Accepted
MIRs</t>
        </is>
      </c>
      <c r="K9" s="7" t="inlineStr">
        <is>
          <t>Received
WIRs</t>
        </is>
      </c>
      <c r="L9" s="7" t="inlineStr">
        <is>
          <t>Accepted
WIRs</t>
        </is>
      </c>
      <c r="M9" s="7" t="inlineStr">
        <is>
          <t>Raised
NCRs</t>
        </is>
      </c>
      <c r="N9" s="7" t="inlineStr">
        <is>
          <t>Closed
NCRs</t>
        </is>
      </c>
    </row>
    <row r="10">
      <c r="A10" s="8" t="inlineStr">
        <is>
          <t>Design &amp; Engineering</t>
        </is>
      </c>
      <c r="B10" s="9" t="n">
        <v>145</v>
      </c>
      <c r="C10" s="9" t="n">
        <v>128</v>
      </c>
      <c r="D10" s="9" t="n">
        <v>15</v>
      </c>
      <c r="E10" s="9" t="n">
        <v>2</v>
      </c>
      <c r="F10" s="9" t="n">
        <v>18</v>
      </c>
      <c r="G10" s="9" t="n">
        <v>16</v>
      </c>
      <c r="H10" s="9" t="n">
        <v>3</v>
      </c>
      <c r="I10" s="9" t="n">
        <v>420</v>
      </c>
      <c r="J10" s="9" t="n">
        <v>408</v>
      </c>
      <c r="K10" s="9" t="n">
        <v>315</v>
      </c>
      <c r="L10" s="9" t="n">
        <v>302</v>
      </c>
      <c r="M10" s="9" t="n">
        <v>4</v>
      </c>
      <c r="N10" s="9" t="n">
        <v>4</v>
      </c>
    </row>
    <row r="11">
      <c r="A11" s="8" t="inlineStr">
        <is>
          <t>Procurement &amp; Logistics</t>
        </is>
      </c>
      <c r="B11" s="9" t="n">
        <v>88</v>
      </c>
      <c r="C11" s="9" t="n">
        <v>71</v>
      </c>
      <c r="D11" s="9" t="n">
        <v>14</v>
      </c>
      <c r="E11" s="9" t="n">
        <v>3</v>
      </c>
      <c r="F11" s="9" t="n">
        <v>12</v>
      </c>
      <c r="G11" s="9" t="n">
        <v>11</v>
      </c>
      <c r="H11" s="9" t="n">
        <v>2</v>
      </c>
      <c r="I11" s="9" t="n">
        <v>280</v>
      </c>
      <c r="J11" s="9" t="n">
        <v>271</v>
      </c>
      <c r="K11" s="9" t="n">
        <v>198</v>
      </c>
      <c r="L11" s="9" t="n">
        <v>190</v>
      </c>
      <c r="M11" s="9" t="n">
        <v>3</v>
      </c>
      <c r="N11" s="9" t="n">
        <v>2</v>
      </c>
    </row>
    <row r="12">
      <c r="A12" s="8" t="inlineStr">
        <is>
          <t>Construction – Phase 1</t>
        </is>
      </c>
      <c r="B12" s="9" t="n">
        <v>210</v>
      </c>
      <c r="C12" s="9" t="n">
        <v>185</v>
      </c>
      <c r="D12" s="9" t="n">
        <v>21</v>
      </c>
      <c r="E12" s="9" t="n">
        <v>4</v>
      </c>
      <c r="F12" s="9" t="n">
        <v>26</v>
      </c>
      <c r="G12" s="9" t="n">
        <v>24</v>
      </c>
      <c r="H12" s="9" t="n">
        <v>5</v>
      </c>
      <c r="I12" s="9" t="n">
        <v>680</v>
      </c>
      <c r="J12" s="9" t="n">
        <v>655</v>
      </c>
      <c r="K12" s="9" t="n">
        <v>510</v>
      </c>
      <c r="L12" s="9" t="n">
        <v>488</v>
      </c>
      <c r="M12" s="9" t="n">
        <v>9</v>
      </c>
      <c r="N12" s="9" t="n">
        <v>7</v>
      </c>
    </row>
    <row r="13">
      <c r="A13" s="10" t="inlineStr">
        <is>
          <t>TOTAL</t>
        </is>
      </c>
      <c r="B13" s="11" t="inlineStr">
        <is>
          <t>Submittal
Approval Rate</t>
        </is>
      </c>
      <c r="C13" s="12">
        <f>SUM(C10:C12)</f>
        <v/>
      </c>
      <c r="D13" s="12">
        <f>SUM(D10:D12)</f>
        <v/>
      </c>
      <c r="E13" s="12">
        <f>SUM(E10:E12)</f>
        <v/>
      </c>
      <c r="F13" s="11" t="inlineStr">
        <is>
          <t>Audit
Completion Rate</t>
        </is>
      </c>
      <c r="G13" s="12">
        <f>SUM(G10:G12)</f>
        <v/>
      </c>
      <c r="H13" s="12">
        <f>SUM(H10:H12)</f>
        <v/>
      </c>
      <c r="I13" s="11" t="inlineStr">
        <is>
          <t>MIR
Acceptance Rate</t>
        </is>
      </c>
      <c r="J13" s="12">
        <f>SUM(J10:J12)</f>
        <v/>
      </c>
      <c r="K13" s="11" t="inlineStr">
        <is>
          <t>WIR
Acceptance Rate</t>
        </is>
      </c>
      <c r="L13" s="12">
        <f>SUM(L10:L12)</f>
        <v/>
      </c>
      <c r="M13" s="11" t="inlineStr">
        <is>
          <t>NCR
Closure Rate</t>
        </is>
      </c>
      <c r="N13" s="12">
        <f>SUM(N10:N12)</f>
        <v/>
      </c>
    </row>
    <row r="14" ht="24" customHeight="1">
      <c r="A14" s="13" t="inlineStr">
        <is>
          <t>KPI RATES</t>
        </is>
      </c>
      <c r="B14" s="14">
        <f>IF(B13=0,"", (C13+D13)/B13)</f>
        <v/>
      </c>
      <c r="F14" s="14">
        <f>IF(F13=0,"",G13/F13)</f>
        <v/>
      </c>
      <c r="I14" s="14">
        <f>IF(I13=0,"",J13/I13)</f>
        <v/>
      </c>
      <c r="K14" s="14">
        <f>IF(K13=0,"",L13/K13)</f>
        <v/>
      </c>
      <c r="M14" s="14">
        <f>IF(M13=0,"",N13/M13)</f>
        <v/>
      </c>
    </row>
  </sheetData>
  <mergeCells count="3">
    <mergeCell ref="A4:N6"/>
    <mergeCell ref="A3:B3"/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2026-05-10T09:26:25Z</dcterms:created>
  <dcterms:modified xsi:type="dcterms:W3CDTF">2026-05-10T09:26:25Z</dcterms:modified>
</cp:coreProperties>
</file>